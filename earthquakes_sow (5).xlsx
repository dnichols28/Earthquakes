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Epegu\Downloads\"/>
    </mc:Choice>
  </mc:AlternateContent>
  <xr:revisionPtr revIDLastSave="0" documentId="13_ncr:1_{567D8BC1-05A7-4A9C-90D1-BDE0EE624366}" xr6:coauthVersionLast="47" xr6:coauthVersionMax="47" xr10:uidLastSave="{00000000-0000-0000-0000-000000000000}"/>
  <bookViews>
    <workbookView xWindow="-120" yWindow="-120" windowWidth="29040" windowHeight="15720" tabRatio="500" xr2:uid="{00000000-000D-0000-FFFF-FFFF00000000}"/>
  </bookViews>
  <sheets>
    <sheet name="Earthquakes" sheetId="10" r:id="rId1"/>
    <sheet name="-Disclaimer-" sheetId="2" r:id="rId2"/>
  </sheets>
  <definedNames>
    <definedName name="_xlnm.Print_Area" localSheetId="0">Earthquakes!$B$1:$I$75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0" l="1"/>
  <c r="H21" i="10"/>
  <c r="H23" i="10"/>
  <c r="H44" i="10"/>
  <c r="H45" i="10"/>
  <c r="H47" i="10"/>
  <c r="H58" i="10"/>
  <c r="H59" i="10"/>
  <c r="H61" i="10"/>
  <c r="H72" i="10"/>
  <c r="H73" i="10"/>
  <c r="G60" i="10" l="1"/>
  <c r="F60" i="10"/>
  <c r="G22" i="10"/>
  <c r="F22" i="10"/>
  <c r="F46" i="10"/>
  <c r="G46" i="10"/>
  <c r="G8" i="10"/>
  <c r="F8" i="10"/>
  <c r="H5" i="10"/>
  <c r="H60" i="10" l="1"/>
  <c r="H22" i="10"/>
  <c r="H46" i="10"/>
  <c r="H8" i="10"/>
</calcChain>
</file>

<file path=xl/sharedStrings.xml><?xml version="1.0" encoding="utf-8"?>
<sst xmlns="http://schemas.openxmlformats.org/spreadsheetml/2006/main" count="150" uniqueCount="102">
  <si>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</si>
  <si>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</si>
  <si>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</si>
  <si>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</si>
  <si>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</si>
  <si>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</si>
  <si>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</si>
  <si>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</si>
  <si>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</si>
  <si>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</si>
  <si>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</si>
  <si>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</si>
  <si>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</si>
  <si>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</si>
  <si>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</si>
  <si>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</si>
  <si>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</si>
  <si>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Register</t>
  </si>
  <si>
    <t>Chloe (Designer), DeAnna (Tester), Emilio (Lead), Taylor (SWE)</t>
  </si>
  <si>
    <t>Chloe</t>
  </si>
  <si>
    <t>DeAnna</t>
  </si>
  <si>
    <t>Emilio</t>
  </si>
  <si>
    <t>Taylor</t>
  </si>
  <si>
    <t>Earthquakes Statement of Work</t>
  </si>
  <si>
    <t>SHA 6b06d94, 08ed70b</t>
  </si>
  <si>
    <t>SHA 21f9598, e081761</t>
  </si>
  <si>
    <t>#10 Create Student class</t>
  </si>
  <si>
    <t>SHA 3f51e34, 8a2a698, b86d860, c3464c2, 825723b, ff508cc, 330ecc6, cd4b81e</t>
  </si>
  <si>
    <t>#15 Create a Professor class</t>
  </si>
  <si>
    <t>https://www.smartsheet.com/top-project-management-excel-templates?srsltid=AfmBOorM8KTqo0GkEazFKhVFp3ozfOh-BifeI1KKxQxM0WpR5p08gBRL</t>
  </si>
  <si>
    <t>Oh no, Assignment08's 700 points is a third of all points this semester and you have no commits!</t>
  </si>
  <si>
    <t>Nov 26th: 0 commits</t>
  </si>
  <si>
    <t>Nov 26th: 31 commits, +1076, -281</t>
  </si>
  <si>
    <t>Nov 26th: 10 commits, +77, -30</t>
  </si>
  <si>
    <t>Nov 26th: 11 commits, +1505, -637</t>
  </si>
  <si>
    <t>Project Development Team</t>
  </si>
  <si>
    <t>#5 As a student I want to be able to see my previous schedules from other semesters</t>
  </si>
  <si>
    <t>#50 As a dev I want to be able to display the CRNs in descending order</t>
  </si>
  <si>
    <t>#34 As a designer I want the Admin menu to have Welcome message banner</t>
  </si>
  <si>
    <t>#47 As a designer I want a label for  that introduces the student before printing the student information</t>
  </si>
  <si>
    <t>#43 As a tester I want to test that the code runs following only the information given in the rule and requirements documentation</t>
  </si>
  <si>
    <t>#38 As a designer I want the student major to be displayed with ascii art</t>
  </si>
  <si>
    <t>#29 As a doc/writer I want a Attendance.csv</t>
  </si>
  <si>
    <t>#22 As a tester I want to test the Course class</t>
  </si>
  <si>
    <t>#23 As a tester I want to test the Student class</t>
  </si>
  <si>
    <t>#20 As a dev I would like to be able to create a course to assign to a professor and/or students.</t>
  </si>
  <si>
    <t>#40 As a designer I want the fiscal clearance label to be printed in all capital letters</t>
  </si>
  <si>
    <t># 16 As a dev I want a University Database.csv</t>
  </si>
  <si>
    <t>#14 As a dev I want a Course class</t>
  </si>
  <si>
    <t>#18 As a dev I want to be able to have a menu for the admin</t>
  </si>
  <si>
    <t xml:space="preserve">#21 As an admin I want to be able to access student’s transcripts </t>
  </si>
  <si>
    <t xml:space="preserve">#24 Create unittests for Admin.py </t>
  </si>
  <si>
    <t xml:space="preserve">This user case was assigned to chloe, but the testing document was not made when I needed to create a test for my new Admin.py methods so I had to make the testing doc for Admin.py and decided to create tests the whole class, since I was already testing my methods. </t>
  </si>
  <si>
    <t>Upload standup_meetings.txt</t>
  </si>
  <si>
    <t>There is no user story number because this task was assigned during class</t>
  </si>
  <si>
    <t>SHA 109f87b not a use case but necessary for code to run as intended</t>
  </si>
  <si>
    <t xml:space="preserve">SHA a3cf1fb </t>
  </si>
  <si>
    <t xml:space="preserve">SHA 109f87b , f573d19, 26d8a13, 3718357 </t>
  </si>
  <si>
    <t xml:space="preserve">SHA 813d528, 0e43d79, 
c6466c3 </t>
  </si>
  <si>
    <t>SHA c6466c3 is a test needed for pull request to be accepted</t>
  </si>
  <si>
    <t xml:space="preserve">SHA a4a5221 </t>
  </si>
  <si>
    <t xml:space="preserve">SHA df55a75 </t>
  </si>
  <si>
    <t xml:space="preserve">Update tester name in README.md </t>
  </si>
  <si>
    <t xml:space="preserve">SHA b82e2d7 </t>
  </si>
  <si>
    <t>Task given by lead, not user story number</t>
  </si>
  <si>
    <t xml:space="preserve">SHA 91964cb </t>
  </si>
  <si>
    <t>This SHA is for the user case to implement course class in admin_driver.py</t>
  </si>
  <si>
    <t xml:space="preserve">SHA 4c3f236 , 2c0753d </t>
  </si>
  <si>
    <t xml:space="preserve">SHA db6963e </t>
  </si>
  <si>
    <t xml:space="preserve">SHA cd4b81e, ed7e555 </t>
  </si>
  <si>
    <t>SHA ed7e555  is a test needed for pull request to be accepted</t>
  </si>
  <si>
    <t xml:space="preserve">SHA 376ae76, 6b80137 </t>
  </si>
  <si>
    <t>SHA 6b80137 is fixing a design error I discovered during testing</t>
  </si>
  <si>
    <t xml:space="preserve">No SHA because it didn’t require code changes, just me runnning code </t>
  </si>
  <si>
    <t xml:space="preserve">SHA 56d0e75 </t>
  </si>
  <si>
    <t xml:space="preserve">SHA 3a25d79 </t>
  </si>
  <si>
    <t>SHA 0ba8eb1</t>
  </si>
  <si>
    <t xml:space="preserve">SHA 900e58e </t>
  </si>
  <si>
    <t xml:space="preserve">SHA 42e5033 </t>
  </si>
  <si>
    <t xml:space="preserve">SHA 2e5c0a5 , 1a6c1c6 </t>
  </si>
  <si>
    <t>SHA 1a6c1c6 is a test needed for pull request to be accepted</t>
  </si>
  <si>
    <t>#62 Update README with 6 numbered, prioritized projects</t>
  </si>
  <si>
    <t>SHA  1bcf60f</t>
  </si>
  <si>
    <t>#9 As the team lead I want to make sure everyone knows how to issue a pull request</t>
  </si>
  <si>
    <t xml:space="preserve">Via Zoom </t>
  </si>
  <si>
    <t>#53 As a lead I want to have a meeting before the release #2 due date to make sure that at least half the tasks are finished</t>
  </si>
  <si>
    <t>#48 As a Team lead i would like to make sure everyone is on track</t>
  </si>
  <si>
    <t xml:space="preserve">Via Text/Zoom </t>
  </si>
  <si>
    <t>#57 As the lead I want an SDD doc</t>
  </si>
  <si>
    <t>SHA f6ff4db</t>
  </si>
  <si>
    <t>Setting up file structure</t>
  </si>
  <si>
    <t>SHA daa4a26</t>
  </si>
  <si>
    <t>#7 As a student I want to be able to register for my XULA account. Entering Name, email, Password, etc.</t>
  </si>
  <si>
    <t>SHA f75b0f3</t>
  </si>
  <si>
    <t>#30 As a doc/writer I want a updated README about our Release #2</t>
  </si>
  <si>
    <t>SHA 788a70c</t>
  </si>
  <si>
    <t>SHA e035d4d</t>
  </si>
  <si>
    <t>#26 As an advisor I want to be able to change fiscal clearance</t>
  </si>
  <si>
    <t>SHA da2fa49</t>
  </si>
  <si>
    <t>#35 As a doc/writer I want a updated README about our Release #1</t>
  </si>
  <si>
    <t>SHA 78b2e2e</t>
  </si>
  <si>
    <t>Throughout the project I reached out on our preferred messaging system and aswell privilty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</si>
</sst>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9"/>
      <color theme="1"/>
      <name val="Consolas"/>
      <family val="3"/>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1">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
      <left/>
      <right/>
      <top/>
      <bottom style="medium">
        <color rgb="FF3D444D"/>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94">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164" fontId="5" fillId="0" borderId="5" xfId="0" applyNumberFormat="1" applyFont="1" applyBorder="1" applyAlignment="1">
      <alignment horizontal="right" vertical="center" wrapText="1" indent="1" readingOrder="1"/>
    </xf>
    <xf numFmtId="164" fontId="5" fillId="0" borderId="4" xfId="0" applyNumberFormat="1" applyFont="1" applyBorder="1" applyAlignment="1">
      <alignment horizontal="right" vertical="center" wrapText="1" indent="1" readingOrder="1"/>
    </xf>
    <xf numFmtId="1" fontId="4" fillId="15" borderId="5" xfId="0" applyNumberFormat="1" applyFont="1" applyFill="1" applyBorder="1" applyAlignment="1">
      <alignment horizontal="right" vertical="center" wrapText="1" indent="1"/>
    </xf>
    <xf numFmtId="1" fontId="4" fillId="15" borderId="4" xfId="0" applyNumberFormat="1" applyFont="1" applyFill="1" applyBorder="1" applyAlignment="1">
      <alignment horizontal="right" vertical="center" wrapText="1" indent="1"/>
    </xf>
    <xf numFmtId="0" fontId="4" fillId="2" borderId="5"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9" fillId="0" borderId="5" xfId="0" applyFont="1" applyBorder="1" applyAlignment="1">
      <alignment horizontal="left" vertical="center" wrapText="1" indent="2"/>
    </xf>
    <xf numFmtId="0" fontId="9" fillId="0" borderId="4" xfId="0" applyFont="1" applyBorder="1" applyAlignment="1">
      <alignment horizontal="left" vertical="center" wrapText="1" indent="2"/>
    </xf>
    <xf numFmtId="0" fontId="5" fillId="2" borderId="5" xfId="0" applyFont="1" applyFill="1" applyBorder="1" applyAlignment="1">
      <alignment horizontal="left" vertical="center" wrapText="1" indent="1" readingOrder="1"/>
    </xf>
    <xf numFmtId="0" fontId="5" fillId="2" borderId="4" xfId="0" applyFont="1" applyFill="1" applyBorder="1" applyAlignment="1">
      <alignment horizontal="left" vertical="center" wrapText="1" indent="1" readingOrder="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164" fontId="4" fillId="2" borderId="5" xfId="0" applyNumberFormat="1" applyFont="1" applyFill="1" applyBorder="1" applyAlignment="1">
      <alignment horizontal="left" vertical="center" wrapText="1" indent="1"/>
    </xf>
    <xf numFmtId="164" fontId="4" fillId="2" borderId="4" xfId="0" applyNumberFormat="1" applyFont="1" applyFill="1" applyBorder="1" applyAlignment="1">
      <alignment horizontal="left" vertical="center" wrapText="1" indent="1"/>
    </xf>
    <xf numFmtId="0" fontId="18" fillId="0" borderId="10" xfId="0" applyFont="1" applyBorder="1" applyAlignment="1">
      <alignment horizontal="left" vertical="center"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Earthquakes!$F$7</c:f>
              <c:strCache>
                <c:ptCount val="1"/>
                <c:pt idx="0">
                  <c:v>Start Date</c:v>
                </c:pt>
              </c:strCache>
            </c:strRef>
          </c:tx>
          <c:spPr>
            <a:noFill/>
            <a:ln>
              <a:noFill/>
            </a:ln>
            <a:effectLst/>
          </c:spPr>
          <c:invertIfNegative val="0"/>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#62 Update README with 6 numbered, prioritized projects</c:v>
                </c:pt>
                <c:pt idx="40">
                  <c:v>#9 As the team lead I want to make sure everyone knows how to issue a pull request</c:v>
                </c:pt>
                <c:pt idx="41">
                  <c:v>#53 As a lead I want to have a meeting before the release #2 due date to make sure that at least half the tasks are finished</c:v>
                </c:pt>
                <c:pt idx="42">
                  <c:v>#48 As a Team lead i would like to make sure everyone is on track</c:v>
                </c:pt>
                <c:pt idx="43">
                  <c:v>#57 As the lead I want an SDD doc</c:v>
                </c:pt>
                <c:pt idx="44">
                  <c:v>Setting up file structure</c:v>
                </c:pt>
                <c:pt idx="45">
                  <c:v>#7 As a student I want to be able to register for my XULA account. Entering Name, email, Password, etc.</c:v>
                </c:pt>
                <c:pt idx="46">
                  <c:v>#30 As a doc/writer I want a updated README about our Release #2</c:v>
                </c:pt>
                <c:pt idx="47">
                  <c:v>#18 As a dev I want to be able to have a menu for the admin</c:v>
                </c:pt>
                <c:pt idx="48">
                  <c:v>#26 As an advisor I want to be able to change fiscal clearance</c:v>
                </c:pt>
                <c:pt idx="49">
                  <c:v>#35 As a doc/writer I want a updated README about our Release #1</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Earthquakes!$F$8:$F$73</c:f>
              <c:numCache>
                <c:formatCode>m/d;@</c:formatCode>
                <c:ptCount val="66"/>
                <c:pt idx="0">
                  <c:v>45983</c:v>
                </c:pt>
                <c:pt idx="12">
                  <c:v>45983</c:v>
                </c:pt>
                <c:pt idx="13">
                  <c:v>45992</c:v>
                </c:pt>
                <c:pt idx="14">
                  <c:v>45976</c:v>
                </c:pt>
                <c:pt idx="15">
                  <c:v>45976</c:v>
                </c:pt>
                <c:pt idx="16">
                  <c:v>45990</c:v>
                </c:pt>
                <c:pt idx="17">
                  <c:v>45990</c:v>
                </c:pt>
                <c:pt idx="19">
                  <c:v>45984</c:v>
                </c:pt>
                <c:pt idx="20">
                  <c:v>45984</c:v>
                </c:pt>
                <c:pt idx="21">
                  <c:v>45984</c:v>
                </c:pt>
                <c:pt idx="22">
                  <c:v>45986</c:v>
                </c:pt>
                <c:pt idx="23">
                  <c:v>45984</c:v>
                </c:pt>
                <c:pt idx="24">
                  <c:v>45984</c:v>
                </c:pt>
                <c:pt idx="25">
                  <c:v>45986</c:v>
                </c:pt>
                <c:pt idx="26">
                  <c:v>45986</c:v>
                </c:pt>
                <c:pt idx="27">
                  <c:v>45986</c:v>
                </c:pt>
                <c:pt idx="28">
                  <c:v>45986</c:v>
                </c:pt>
                <c:pt idx="29">
                  <c:v>45976</c:v>
                </c:pt>
                <c:pt idx="30">
                  <c:v>45978</c:v>
                </c:pt>
                <c:pt idx="31">
                  <c:v>45978</c:v>
                </c:pt>
                <c:pt idx="32">
                  <c:v>45990</c:v>
                </c:pt>
                <c:pt idx="34">
                  <c:v>45981</c:v>
                </c:pt>
                <c:pt idx="35">
                  <c:v>45976</c:v>
                </c:pt>
                <c:pt idx="36">
                  <c:v>45983</c:v>
                </c:pt>
                <c:pt idx="37">
                  <c:v>45992</c:v>
                </c:pt>
                <c:pt idx="38">
                  <c:v>45973</c:v>
                </c:pt>
                <c:pt idx="39">
                  <c:v>45973</c:v>
                </c:pt>
                <c:pt idx="40">
                  <c:v>45975</c:v>
                </c:pt>
                <c:pt idx="41">
                  <c:v>45984</c:v>
                </c:pt>
                <c:pt idx="42">
                  <c:v>45973</c:v>
                </c:pt>
                <c:pt idx="43">
                  <c:v>45992</c:v>
                </c:pt>
                <c:pt idx="44">
                  <c:v>45976</c:v>
                </c:pt>
                <c:pt idx="45">
                  <c:v>45975</c:v>
                </c:pt>
                <c:pt idx="46">
                  <c:v>45986</c:v>
                </c:pt>
                <c:pt idx="47">
                  <c:v>45978</c:v>
                </c:pt>
                <c:pt idx="48">
                  <c:v>45982</c:v>
                </c:pt>
                <c:pt idx="49">
                  <c:v>45982</c:v>
                </c:pt>
                <c:pt idx="50">
                  <c:v>45983</c:v>
                </c:pt>
                <c:pt idx="51">
                  <c:v>45992</c:v>
                </c:pt>
                <c:pt idx="52">
                  <c:v>45983</c:v>
                </c:pt>
                <c:pt idx="53">
                  <c:v>45984</c:v>
                </c:pt>
                <c:pt idx="64">
                  <c:v>45983</c:v>
                </c:pt>
                <c:pt idx="65">
                  <c:v>45992</c:v>
                </c:pt>
              </c:numCache>
            </c:numRef>
          </c:val>
          <c:extLst>
            <c:ext xmlns:c16="http://schemas.microsoft.com/office/drawing/2014/chart" uri="{C3380CC4-5D6E-409C-BE32-E72D297353CC}">
              <c16:uniqueId val="{00000000-8C3B-6B4E-8271-047982C56358}"/>
            </c:ext>
          </c:extLst>
        </c:ser>
        <c:ser>
          <c:idx val="1"/>
          <c:order val="1"/>
          <c:tx>
            <c:strRef>
              <c:f>Earthquakes!$H$7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#62 Update README with 6 numbered, prioritized projects</c:v>
                </c:pt>
                <c:pt idx="40">
                  <c:v>#9 As the team lead I want to make sure everyone knows how to issue a pull request</c:v>
                </c:pt>
                <c:pt idx="41">
                  <c:v>#53 As a lead I want to have a meeting before the release #2 due date to make sure that at least half the tasks are finished</c:v>
                </c:pt>
                <c:pt idx="42">
                  <c:v>#48 As a Team lead i would like to make sure everyone is on track</c:v>
                </c:pt>
                <c:pt idx="43">
                  <c:v>#57 As the lead I want an SDD doc</c:v>
                </c:pt>
                <c:pt idx="44">
                  <c:v>Setting up file structure</c:v>
                </c:pt>
                <c:pt idx="45">
                  <c:v>#7 As a student I want to be able to register for my XULA account. Entering Name, email, Password, etc.</c:v>
                </c:pt>
                <c:pt idx="46">
                  <c:v>#30 As a doc/writer I want a updated README about our Release #2</c:v>
                </c:pt>
                <c:pt idx="47">
                  <c:v>#18 As a dev I want to be able to have a menu for the admin</c:v>
                </c:pt>
                <c:pt idx="48">
                  <c:v>#26 As an advisor I want to be able to change fiscal clearance</c:v>
                </c:pt>
                <c:pt idx="49">
                  <c:v>#35 As a doc/writer I want a updated README about our Release #1</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Earthquakes!$H$8:$H$73</c:f>
              <c:numCache>
                <c:formatCode>0</c:formatCode>
                <c:ptCount val="66"/>
                <c:pt idx="0">
                  <c:v>17</c:v>
                </c:pt>
                <c:pt idx="12">
                  <c:v>17</c:v>
                </c:pt>
                <c:pt idx="13">
                  <c:v>1</c:v>
                </c:pt>
                <c:pt idx="14">
                  <c:v>24</c:v>
                </c:pt>
                <c:pt idx="15">
                  <c:v>1</c:v>
                </c:pt>
                <c:pt idx="16">
                  <c:v>1</c:v>
                </c:pt>
                <c:pt idx="17">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4">
                  <c:v>1</c:v>
                </c:pt>
                <c:pt idx="35">
                  <c:v>1</c:v>
                </c:pt>
                <c:pt idx="36">
                  <c:v>17</c:v>
                </c:pt>
                <c:pt idx="37">
                  <c:v>1</c:v>
                </c:pt>
                <c:pt idx="38" formatCode="General">
                  <c:v>27</c:v>
                </c:pt>
                <c:pt idx="39">
                  <c:v>3</c:v>
                </c:pt>
                <c:pt idx="40">
                  <c:v>1</c:v>
                </c:pt>
                <c:pt idx="41">
                  <c:v>1</c:v>
                </c:pt>
                <c:pt idx="42">
                  <c:v>19</c:v>
                </c:pt>
                <c:pt idx="43">
                  <c:v>1</c:v>
                </c:pt>
                <c:pt idx="44">
                  <c:v>1</c:v>
                </c:pt>
                <c:pt idx="45">
                  <c:v>2</c:v>
                </c:pt>
                <c:pt idx="46">
                  <c:v>1</c:v>
                </c:pt>
                <c:pt idx="47">
                  <c:v>1</c:v>
                </c:pt>
                <c:pt idx="48">
                  <c:v>1</c:v>
                </c:pt>
                <c:pt idx="49">
                  <c:v>1</c:v>
                </c:pt>
                <c:pt idx="50">
                  <c:v>17</c:v>
                </c:pt>
                <c:pt idx="51">
                  <c:v>1</c:v>
                </c:pt>
                <c:pt idx="52" formatCode="General">
                  <c:v>17</c:v>
                </c:pt>
                <c:pt idx="53">
                  <c:v>1</c:v>
                </c:pt>
                <c:pt idx="64">
                  <c:v>17</c:v>
                </c:pt>
                <c:pt idx="6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73</xdr:row>
      <xdr:rowOff>114300</xdr:rowOff>
    </xdr:from>
    <xdr:to>
      <xdr:col>8</xdr:col>
      <xdr:colOff>3860800</xdr:colOff>
      <xdr:row>75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27</xdr:row>
      <xdr:rowOff>50800</xdr:rowOff>
    </xdr:from>
    <xdr:to>
      <xdr:col>19</xdr:col>
      <xdr:colOff>203200</xdr:colOff>
      <xdr:row>32</xdr:row>
      <xdr:rowOff>88900</xdr:rowOff>
    </xdr:to>
    <xdr:pic>
      <xdr:nvPicPr>
        <xdr:cNvPr id="7" name="Picture 6">
          <a:extLst>
            <a:ext uri="{FF2B5EF4-FFF2-40B4-BE49-F238E27FC236}">
              <a16:creationId xmlns:a16="http://schemas.microsoft.com/office/drawing/2014/main" id="{F1B708C3-BD56-CB31-FFC4-B572917964BB}"/>
            </a:ext>
          </a:extLst>
        </xdr:cNvPr>
        <xdr:cNvPicPr>
          <a:picLocks noChangeAspect="1"/>
        </xdr:cNvPicPr>
      </xdr:nvPicPr>
      <xdr:blipFill>
        <a:blip xmlns:r="http://schemas.openxmlformats.org/officeDocument/2006/relationships" r:embed="rId2"/>
        <a:stretch>
          <a:fillRect/>
        </a:stretch>
      </xdr:blipFill>
      <xdr:spPr>
        <a:xfrm>
          <a:off x="15773400" y="8547100"/>
          <a:ext cx="7620000" cy="1625600"/>
        </a:xfrm>
        <a:prstGeom prst="rect">
          <a:avLst/>
        </a:prstGeom>
      </xdr:spPr>
    </xdr:pic>
    <xdr:clientData/>
  </xdr:twoCellAnchor>
  <xdr:twoCellAnchor editAs="oneCell">
    <xdr:from>
      <xdr:col>9</xdr:col>
      <xdr:colOff>241300</xdr:colOff>
      <xdr:row>49</xdr:row>
      <xdr:rowOff>50800</xdr:rowOff>
    </xdr:from>
    <xdr:to>
      <xdr:col>19</xdr:col>
      <xdr:colOff>76200</xdr:colOff>
      <xdr:row>54</xdr:row>
      <xdr:rowOff>88900</xdr:rowOff>
    </xdr:to>
    <xdr:pic>
      <xdr:nvPicPr>
        <xdr:cNvPr id="8" name="Picture 7">
          <a:extLst>
            <a:ext uri="{FF2B5EF4-FFF2-40B4-BE49-F238E27FC236}">
              <a16:creationId xmlns:a16="http://schemas.microsoft.com/office/drawing/2014/main" id="{D377F803-37DE-E9DC-03E7-5E17D9B6BEF5}"/>
            </a:ext>
          </a:extLst>
        </xdr:cNvPr>
        <xdr:cNvPicPr>
          <a:picLocks noChangeAspect="1"/>
        </xdr:cNvPicPr>
      </xdr:nvPicPr>
      <xdr:blipFill>
        <a:blip xmlns:r="http://schemas.openxmlformats.org/officeDocument/2006/relationships" r:embed="rId3"/>
        <a:stretch>
          <a:fillRect/>
        </a:stretch>
      </xdr:blipFill>
      <xdr:spPr>
        <a:xfrm>
          <a:off x="15646400" y="12712700"/>
          <a:ext cx="7620000" cy="1625600"/>
        </a:xfrm>
        <a:prstGeom prst="rect">
          <a:avLst/>
        </a:prstGeom>
      </xdr:spPr>
    </xdr:pic>
    <xdr:clientData/>
  </xdr:twoCellAnchor>
  <xdr:twoCellAnchor editAs="oneCell">
    <xdr:from>
      <xdr:col>9</xdr:col>
      <xdr:colOff>241300</xdr:colOff>
      <xdr:row>63</xdr:row>
      <xdr:rowOff>76200</xdr:rowOff>
    </xdr:from>
    <xdr:to>
      <xdr:col>19</xdr:col>
      <xdr:colOff>76200</xdr:colOff>
      <xdr:row>68</xdr:row>
      <xdr:rowOff>114300</xdr:rowOff>
    </xdr:to>
    <xdr:pic>
      <xdr:nvPicPr>
        <xdr:cNvPr id="9" name="Picture 8">
          <a:extLst>
            <a:ext uri="{FF2B5EF4-FFF2-40B4-BE49-F238E27FC236}">
              <a16:creationId xmlns:a16="http://schemas.microsoft.com/office/drawing/2014/main" id="{07723E09-AB12-A456-7F97-65D0B0956D55}"/>
            </a:ext>
          </a:extLst>
        </xdr:cNvPr>
        <xdr:cNvPicPr>
          <a:picLocks noChangeAspect="1"/>
        </xdr:cNvPicPr>
      </xdr:nvPicPr>
      <xdr:blipFill>
        <a:blip xmlns:r="http://schemas.openxmlformats.org/officeDocument/2006/relationships" r:embed="rId4"/>
        <a:stretch>
          <a:fillRect/>
        </a:stretch>
      </xdr:blipFill>
      <xdr:spPr>
        <a:xfrm>
          <a:off x="15646400" y="175768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19"/>
  <sheetViews>
    <sheetView showGridLines="0" tabSelected="1" topLeftCell="C1" zoomScale="115" zoomScaleNormal="115" workbookViewId="0">
      <pane ySplit="1" topLeftCell="A28" activePane="bottomLeft" state="frozen"/>
      <selection pane="bottomLeft" activeCell="I52" sqref="I52"/>
    </sheetView>
  </sheetViews>
  <sheetFormatPr defaultColWidth="11" defaultRowHeight="13.5" outlineLevelRow="1" x14ac:dyDescent="0.25"/>
  <cols>
    <col min="1" max="1" width="3.375" style="7" customWidth="1"/>
    <col min="2" max="2" width="7.875" style="7" customWidth="1"/>
    <col min="3" max="3" width="57" style="7" bestFit="1" customWidth="1"/>
    <col min="4" max="4" width="12.875" style="7" customWidth="1"/>
    <col min="5" max="5" width="22.375" style="7" bestFit="1" customWidth="1"/>
    <col min="6" max="6" width="12.625" style="39" customWidth="1"/>
    <col min="7" max="7" width="11.875" style="39" customWidth="1"/>
    <col min="8" max="8" width="10.625" style="7" customWidth="1"/>
    <col min="9" max="9" width="63.625" style="7" customWidth="1"/>
    <col min="10" max="10" width="3.375" style="7" customWidth="1"/>
    <col min="11" max="11" width="12.875" style="7" customWidth="1"/>
    <col min="12" max="17" width="11" style="7"/>
    <col min="18" max="18" width="9" style="7" customWidth="1"/>
    <col min="19" max="22" width="11" style="7"/>
    <col min="23" max="23" width="51.875" style="7" customWidth="1"/>
    <col min="24" max="16384" width="11" style="7"/>
  </cols>
  <sheetData>
    <row r="1" spans="1:258" ht="57" customHeight="1" x14ac:dyDescent="0.25">
      <c r="A1" s="1"/>
      <c r="B1" s="29" t="s">
        <v>23</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5">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3">
      <c r="A3" s="1"/>
      <c r="B3" s="1"/>
      <c r="C3" s="21" t="s">
        <v>17</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3">
      <c r="A4" s="18"/>
      <c r="B4" s="18"/>
      <c r="C4" s="22" t="s">
        <v>35</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3">
      <c r="A5" s="1"/>
      <c r="B5" s="1"/>
      <c r="C5" s="26" t="s">
        <v>18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2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1" customHeight="1" thickBot="1" x14ac:dyDescent="0.3">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4.95" customHeight="1" x14ac:dyDescent="0.25">
      <c r="A8" s="47"/>
      <c r="B8" s="62"/>
      <c r="C8" s="63" t="s">
        <v>19</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7" outlineLevel="1" x14ac:dyDescent="0.25">
      <c r="A9" s="8"/>
      <c r="B9" s="2"/>
      <c r="C9" s="14"/>
      <c r="D9" s="3"/>
      <c r="E9" s="4"/>
      <c r="F9" s="40"/>
      <c r="G9" s="40"/>
      <c r="H9" s="45"/>
      <c r="I9" s="78" t="s">
        <v>30</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4.95" customHeight="1" outlineLevel="1" x14ac:dyDescent="0.25">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4.95" customHeight="1" outlineLevel="1" x14ac:dyDescent="0.25">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4.95" customHeight="1" outlineLevel="1" x14ac:dyDescent="0.2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4.95" customHeight="1" outlineLevel="1" x14ac:dyDescent="0.2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4.95" customHeight="1" outlineLevel="1" x14ac:dyDescent="0.2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4.95" customHeight="1" outlineLevel="1" x14ac:dyDescent="0.2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4.95" customHeight="1" outlineLevel="1" x14ac:dyDescent="0.2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4.95" customHeight="1" outlineLevel="1" x14ac:dyDescent="0.25">
      <c r="A17" s="8"/>
      <c r="B17" s="2"/>
      <c r="C17" s="14"/>
      <c r="D17" s="3"/>
      <c r="E17" s="20"/>
      <c r="F17" s="40"/>
      <c r="G17" s="40"/>
      <c r="H17" s="45"/>
      <c r="I17" s="2"/>
      <c r="J17" s="8"/>
      <c r="K17" s="1"/>
      <c r="L17" s="8"/>
      <c r="M17" s="8"/>
      <c r="N17" s="8"/>
      <c r="O17" s="8"/>
      <c r="P17" s="8"/>
      <c r="Q17" s="8"/>
      <c r="R17" s="8"/>
      <c r="S17" s="8"/>
      <c r="T17" s="8"/>
      <c r="U17" s="8"/>
      <c r="V17" s="8"/>
      <c r="W17" s="8" t="s">
        <v>31</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4.95" customHeight="1" outlineLevel="1" x14ac:dyDescent="0.2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4.95" customHeight="1" outlineLevel="1" x14ac:dyDescent="0.2">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4.95" customHeight="1" outlineLevel="1" x14ac:dyDescent="0.25">
      <c r="A20" s="8"/>
      <c r="B20" s="2"/>
      <c r="C20" s="14" t="s">
        <v>16</v>
      </c>
      <c r="D20" s="3" t="s">
        <v>4</v>
      </c>
      <c r="E20" s="13"/>
      <c r="F20" s="40">
        <v>45983</v>
      </c>
      <c r="G20" s="40">
        <v>45999</v>
      </c>
      <c r="H20" s="45">
        <f t="shared" ref="H20:H72" si="0">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4.95" customHeight="1" outlineLevel="1" thickBot="1" x14ac:dyDescent="0.3">
      <c r="A21" s="8"/>
      <c r="B21" s="16"/>
      <c r="C21" s="14" t="s">
        <v>15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4.95" customHeight="1" x14ac:dyDescent="0.25">
      <c r="A22" s="47"/>
      <c r="B22" s="56"/>
      <c r="C22" s="56" t="s">
        <v>20</v>
      </c>
      <c r="D22" s="57"/>
      <c r="E22" s="58"/>
      <c r="F22" s="59">
        <f>MIN(F23:F45)</f>
        <v>45976</v>
      </c>
      <c r="G22" s="60">
        <f>MAX(G23:G45)</f>
        <v>45999</v>
      </c>
      <c r="H22" s="76">
        <f t="shared" si="0"/>
        <v>24</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16.5" outlineLevel="1" x14ac:dyDescent="0.25">
      <c r="A23" s="8"/>
      <c r="B23" s="2"/>
      <c r="C23" s="14" t="s">
        <v>26</v>
      </c>
      <c r="D23" s="3" t="s">
        <v>0</v>
      </c>
      <c r="E23" s="13" t="s">
        <v>25</v>
      </c>
      <c r="F23" s="40">
        <v>45976</v>
      </c>
      <c r="G23" s="40">
        <v>45976</v>
      </c>
      <c r="H23" s="46">
        <f t="shared" si="0"/>
        <v>1</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4.95" customHeight="1" outlineLevel="1" x14ac:dyDescent="0.25">
      <c r="A24" s="8"/>
      <c r="B24" s="2"/>
      <c r="C24" s="14" t="s">
        <v>50</v>
      </c>
      <c r="D24" s="3" t="s">
        <v>0</v>
      </c>
      <c r="E24" s="13" t="s">
        <v>57</v>
      </c>
      <c r="F24" s="40">
        <v>45990</v>
      </c>
      <c r="G24" s="40">
        <v>45990</v>
      </c>
      <c r="H24" s="46">
        <v>1</v>
      </c>
      <c r="I24" s="2" t="s">
        <v>55</v>
      </c>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4.95" customHeight="1" outlineLevel="1" x14ac:dyDescent="0.25">
      <c r="A25" s="8"/>
      <c r="B25" s="83"/>
      <c r="C25" s="85" t="s">
        <v>36</v>
      </c>
      <c r="D25" s="87" t="s">
        <v>0</v>
      </c>
      <c r="E25" s="89" t="s">
        <v>58</v>
      </c>
      <c r="F25" s="79">
        <v>45990</v>
      </c>
      <c r="G25" s="79">
        <v>45990</v>
      </c>
      <c r="H25" s="81">
        <v>1</v>
      </c>
      <c r="I25" s="83" t="s">
        <v>59</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4.95" customHeight="1" outlineLevel="1" x14ac:dyDescent="0.25">
      <c r="A26" s="8"/>
      <c r="B26" s="84"/>
      <c r="C26" s="86"/>
      <c r="D26" s="88"/>
      <c r="E26" s="90"/>
      <c r="F26" s="80"/>
      <c r="G26" s="80"/>
      <c r="H26" s="82"/>
      <c r="I26" s="84"/>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4.95" customHeight="1" outlineLevel="1" x14ac:dyDescent="0.25">
      <c r="A27" s="8"/>
      <c r="B27" s="2"/>
      <c r="C27" s="14" t="s">
        <v>37</v>
      </c>
      <c r="D27" s="3" t="s">
        <v>0</v>
      </c>
      <c r="E27" s="13" t="s">
        <v>79</v>
      </c>
      <c r="F27" s="40">
        <v>45984</v>
      </c>
      <c r="G27" s="40">
        <v>45984</v>
      </c>
      <c r="H27" s="46">
        <v>1</v>
      </c>
      <c r="I27" s="2" t="s">
        <v>80</v>
      </c>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4.95" customHeight="1" outlineLevel="1" x14ac:dyDescent="0.25">
      <c r="A28" s="8"/>
      <c r="B28" s="2"/>
      <c r="C28" s="14" t="s">
        <v>38</v>
      </c>
      <c r="D28" s="3" t="s">
        <v>0</v>
      </c>
      <c r="E28" s="13" t="s">
        <v>78</v>
      </c>
      <c r="F28" s="40">
        <v>45984</v>
      </c>
      <c r="G28" s="40">
        <v>45984</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4.95" customHeight="1" outlineLevel="1" x14ac:dyDescent="0.25">
      <c r="A29" s="8"/>
      <c r="B29" s="2"/>
      <c r="C29" s="14" t="s">
        <v>39</v>
      </c>
      <c r="D29" s="3" t="s">
        <v>0</v>
      </c>
      <c r="E29" s="13" t="s">
        <v>77</v>
      </c>
      <c r="F29" s="40">
        <v>45984</v>
      </c>
      <c r="G29" s="40">
        <v>45984</v>
      </c>
      <c r="H29" s="46">
        <v>1</v>
      </c>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4.95" customHeight="1" outlineLevel="1" x14ac:dyDescent="0.25">
      <c r="A30" s="8"/>
      <c r="B30" s="2"/>
      <c r="C30" s="14" t="s">
        <v>40</v>
      </c>
      <c r="D30" s="3" t="s">
        <v>0</v>
      </c>
      <c r="E30" s="13"/>
      <c r="F30" s="40">
        <v>45986</v>
      </c>
      <c r="G30" s="40">
        <v>45986</v>
      </c>
      <c r="H30" s="46">
        <v>1</v>
      </c>
      <c r="I30" s="2" t="s">
        <v>73</v>
      </c>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4.95" customHeight="1" outlineLevel="1" x14ac:dyDescent="0.25">
      <c r="A31" s="8"/>
      <c r="B31" s="2"/>
      <c r="C31" s="14" t="s">
        <v>41</v>
      </c>
      <c r="D31" s="3" t="s">
        <v>0</v>
      </c>
      <c r="E31" s="13" t="s">
        <v>76</v>
      </c>
      <c r="F31" s="40">
        <v>45984</v>
      </c>
      <c r="G31" s="40">
        <v>45984</v>
      </c>
      <c r="H31" s="46">
        <v>1</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4.95" customHeight="1" outlineLevel="1" x14ac:dyDescent="0.25">
      <c r="A32" s="8"/>
      <c r="B32" s="2"/>
      <c r="C32" s="14" t="s">
        <v>42</v>
      </c>
      <c r="D32" s="3" t="s">
        <v>0</v>
      </c>
      <c r="E32" s="13" t="s">
        <v>75</v>
      </c>
      <c r="F32" s="40">
        <v>45984</v>
      </c>
      <c r="G32" s="40">
        <v>45984</v>
      </c>
      <c r="H32" s="46">
        <v>1</v>
      </c>
      <c r="I32" s="2"/>
      <c r="J32" s="8"/>
      <c r="K32" s="1"/>
      <c r="L32" s="8"/>
      <c r="M32" s="8"/>
      <c r="N32" s="8"/>
      <c r="O32" s="8"/>
      <c r="P32" s="8"/>
      <c r="Q32" s="8"/>
      <c r="R32" s="8"/>
      <c r="S32" s="8"/>
      <c r="T32" s="8"/>
      <c r="U32" s="8"/>
      <c r="V32" s="8"/>
      <c r="W32" s="8" t="s">
        <v>32</v>
      </c>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4.95" customHeight="1" outlineLevel="1" x14ac:dyDescent="0.25">
      <c r="A33" s="8"/>
      <c r="B33" s="2"/>
      <c r="C33" s="14" t="s">
        <v>43</v>
      </c>
      <c r="D33" s="3" t="s">
        <v>0</v>
      </c>
      <c r="E33" s="13" t="s">
        <v>74</v>
      </c>
      <c r="F33" s="40">
        <v>45986</v>
      </c>
      <c r="G33" s="40">
        <v>45986</v>
      </c>
      <c r="H33" s="46">
        <v>1</v>
      </c>
      <c r="I33" s="2"/>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4.95" customHeight="1" outlineLevel="1" x14ac:dyDescent="0.25">
      <c r="A34" s="8"/>
      <c r="B34" s="2"/>
      <c r="C34" s="14" t="s">
        <v>44</v>
      </c>
      <c r="D34" s="3" t="s">
        <v>0</v>
      </c>
      <c r="E34" s="13" t="s">
        <v>71</v>
      </c>
      <c r="F34" s="40">
        <v>45986</v>
      </c>
      <c r="G34" s="40">
        <v>45986</v>
      </c>
      <c r="H34" s="46">
        <v>1</v>
      </c>
      <c r="I34" s="2" t="s">
        <v>72</v>
      </c>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4.95" customHeight="1" outlineLevel="1" x14ac:dyDescent="0.25">
      <c r="A35" s="8"/>
      <c r="B35" s="2"/>
      <c r="C35" s="14" t="s">
        <v>45</v>
      </c>
      <c r="D35" s="3" t="s">
        <v>0</v>
      </c>
      <c r="E35" s="13" t="s">
        <v>69</v>
      </c>
      <c r="F35" s="40">
        <v>45986</v>
      </c>
      <c r="G35" s="40">
        <v>45986</v>
      </c>
      <c r="H35" s="46">
        <v>1</v>
      </c>
      <c r="I35" s="2" t="s">
        <v>70</v>
      </c>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24.95" customHeight="1" outlineLevel="1" x14ac:dyDescent="0.25">
      <c r="A36" s="8"/>
      <c r="B36" s="2"/>
      <c r="C36" s="14" t="s">
        <v>46</v>
      </c>
      <c r="D36" s="3" t="s">
        <v>0</v>
      </c>
      <c r="E36" s="13" t="s">
        <v>68</v>
      </c>
      <c r="F36" s="40">
        <v>45986</v>
      </c>
      <c r="G36" s="40">
        <v>45986</v>
      </c>
      <c r="H36" s="46">
        <v>1</v>
      </c>
      <c r="I36" s="2"/>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24.95" customHeight="1" outlineLevel="1" x14ac:dyDescent="0.25">
      <c r="A37" s="8"/>
      <c r="B37" s="2"/>
      <c r="C37" s="14" t="s">
        <v>47</v>
      </c>
      <c r="D37" s="3" t="s">
        <v>0</v>
      </c>
      <c r="E37" s="13" t="s">
        <v>60</v>
      </c>
      <c r="F37" s="40">
        <v>45976</v>
      </c>
      <c r="G37" s="40">
        <v>45976</v>
      </c>
      <c r="H37" s="46">
        <v>1</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4.95" customHeight="1" outlineLevel="1" x14ac:dyDescent="0.25">
      <c r="A38" s="8"/>
      <c r="B38" s="2"/>
      <c r="C38" s="14" t="s">
        <v>48</v>
      </c>
      <c r="D38" s="3" t="s">
        <v>0</v>
      </c>
      <c r="E38" s="13" t="s">
        <v>67</v>
      </c>
      <c r="F38" s="40">
        <v>45978</v>
      </c>
      <c r="G38" s="40">
        <v>45978</v>
      </c>
      <c r="H38" s="46">
        <v>1</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4.95" customHeight="1" outlineLevel="1" x14ac:dyDescent="0.25">
      <c r="A39" s="8"/>
      <c r="B39" s="2"/>
      <c r="C39" s="14" t="s">
        <v>49</v>
      </c>
      <c r="D39" s="3" t="s">
        <v>0</v>
      </c>
      <c r="E39" s="13" t="s">
        <v>65</v>
      </c>
      <c r="F39" s="40">
        <v>45978</v>
      </c>
      <c r="G39" s="40">
        <v>45978</v>
      </c>
      <c r="H39" s="46">
        <v>1</v>
      </c>
      <c r="I39" s="2" t="s">
        <v>66</v>
      </c>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4.95" customHeight="1" outlineLevel="1" x14ac:dyDescent="0.25">
      <c r="A40" s="8"/>
      <c r="B40" s="83"/>
      <c r="C40" s="85" t="s">
        <v>51</v>
      </c>
      <c r="D40" s="87" t="s">
        <v>0</v>
      </c>
      <c r="E40" s="91" t="s">
        <v>56</v>
      </c>
      <c r="F40" s="79">
        <v>45990</v>
      </c>
      <c r="G40" s="79">
        <v>45990</v>
      </c>
      <c r="H40" s="81">
        <v>1</v>
      </c>
      <c r="I40" s="83" t="s">
        <v>52</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4.95" customHeight="1" outlineLevel="1" x14ac:dyDescent="0.25">
      <c r="A41" s="8"/>
      <c r="B41" s="84"/>
      <c r="C41" s="86"/>
      <c r="D41" s="88"/>
      <c r="E41" s="92"/>
      <c r="F41" s="80"/>
      <c r="G41" s="80"/>
      <c r="H41" s="82"/>
      <c r="I41" s="84"/>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4.95" customHeight="1" outlineLevel="1" x14ac:dyDescent="0.25">
      <c r="A42" s="8"/>
      <c r="B42" s="2"/>
      <c r="C42" s="14" t="s">
        <v>53</v>
      </c>
      <c r="D42" s="3" t="s">
        <v>0</v>
      </c>
      <c r="E42" s="13" t="s">
        <v>61</v>
      </c>
      <c r="F42" s="40">
        <v>45981</v>
      </c>
      <c r="G42" s="40">
        <v>45981</v>
      </c>
      <c r="H42" s="46">
        <v>1</v>
      </c>
      <c r="I42" s="2" t="s">
        <v>54</v>
      </c>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4.95" customHeight="1" outlineLevel="1" x14ac:dyDescent="0.25">
      <c r="A43" s="8"/>
      <c r="B43" s="2"/>
      <c r="C43" s="14" t="s">
        <v>62</v>
      </c>
      <c r="D43" s="3" t="s">
        <v>0</v>
      </c>
      <c r="E43" s="13" t="s">
        <v>63</v>
      </c>
      <c r="F43" s="40">
        <v>45976</v>
      </c>
      <c r="G43" s="40">
        <v>45976</v>
      </c>
      <c r="H43" s="46">
        <v>1</v>
      </c>
      <c r="I43" s="2" t="s">
        <v>64</v>
      </c>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4.95" customHeight="1" outlineLevel="1" x14ac:dyDescent="0.25">
      <c r="A44" s="8"/>
      <c r="B44" s="2"/>
      <c r="C44" s="14" t="s">
        <v>16</v>
      </c>
      <c r="D44" s="3" t="s">
        <v>0</v>
      </c>
      <c r="E44" s="13"/>
      <c r="F44" s="40">
        <v>45983</v>
      </c>
      <c r="G44" s="40">
        <v>45999</v>
      </c>
      <c r="H44" s="46">
        <f t="shared" si="0"/>
        <v>17</v>
      </c>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4.95" customHeight="1" outlineLevel="1" thickBot="1" x14ac:dyDescent="0.3">
      <c r="A45" s="8"/>
      <c r="B45" s="2"/>
      <c r="C45" s="14" t="s">
        <v>15</v>
      </c>
      <c r="D45" s="15" t="s">
        <v>0</v>
      </c>
      <c r="E45" s="17"/>
      <c r="F45" s="42">
        <v>45992</v>
      </c>
      <c r="G45" s="43">
        <v>45992</v>
      </c>
      <c r="H45" s="46">
        <f t="shared" si="0"/>
        <v>1</v>
      </c>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55" customFormat="1" ht="24.95" customHeight="1" x14ac:dyDescent="0.25">
      <c r="A46" s="47"/>
      <c r="B46" s="48"/>
      <c r="C46" s="48" t="s">
        <v>21</v>
      </c>
      <c r="D46" s="49"/>
      <c r="E46" s="50"/>
      <c r="F46" s="51">
        <f>MIN(F47:F59)</f>
        <v>45973</v>
      </c>
      <c r="G46" s="52">
        <f>MAX(G47:G59)</f>
        <v>45999</v>
      </c>
      <c r="H46" s="75">
        <f t="shared" si="0"/>
        <v>27</v>
      </c>
      <c r="I46" s="53"/>
      <c r="J46" s="47"/>
      <c r="K46" s="1"/>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47"/>
      <c r="ID46" s="47"/>
      <c r="IE46" s="47"/>
      <c r="IF46" s="47"/>
      <c r="IG46" s="47"/>
      <c r="IH46" s="47"/>
      <c r="II46" s="47"/>
      <c r="IJ46" s="47"/>
      <c r="IK46" s="47"/>
      <c r="IL46" s="47"/>
      <c r="IM46" s="47"/>
      <c r="IN46" s="47"/>
      <c r="IO46" s="47"/>
      <c r="IP46" s="47"/>
      <c r="IQ46" s="47"/>
      <c r="IR46" s="47"/>
      <c r="IS46" s="47"/>
      <c r="IT46" s="47"/>
      <c r="IU46" s="47"/>
      <c r="IV46" s="47"/>
      <c r="IW46" s="47"/>
      <c r="IX46" s="47"/>
    </row>
    <row r="47" spans="1:258" s="9" customFormat="1" ht="33.75" outlineLevel="1" thickBot="1" x14ac:dyDescent="0.3">
      <c r="A47" s="8"/>
      <c r="B47" s="2"/>
      <c r="C47" s="14" t="s">
        <v>81</v>
      </c>
      <c r="D47" s="15" t="s">
        <v>0</v>
      </c>
      <c r="E47" s="12" t="s">
        <v>24</v>
      </c>
      <c r="F47" s="40">
        <v>45973</v>
      </c>
      <c r="G47" s="41">
        <v>45975</v>
      </c>
      <c r="H47" s="77">
        <f t="shared" si="0"/>
        <v>3</v>
      </c>
      <c r="I47" s="78"/>
      <c r="J47" s="8"/>
      <c r="K47" s="1"/>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4.95" customHeight="1" outlineLevel="1" thickBot="1" x14ac:dyDescent="0.3">
      <c r="A48" s="8"/>
      <c r="B48" s="2"/>
      <c r="C48" s="14" t="s">
        <v>83</v>
      </c>
      <c r="D48" s="15" t="s">
        <v>0</v>
      </c>
      <c r="E48" s="12" t="s">
        <v>82</v>
      </c>
      <c r="F48" s="40">
        <v>45975</v>
      </c>
      <c r="G48" s="40">
        <v>45975</v>
      </c>
      <c r="H48" s="77">
        <v>1</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4.95" customHeight="1" outlineLevel="1" thickBot="1" x14ac:dyDescent="0.3">
      <c r="A49" s="8"/>
      <c r="B49" s="2"/>
      <c r="C49" s="14" t="s">
        <v>85</v>
      </c>
      <c r="D49" s="15" t="s">
        <v>0</v>
      </c>
      <c r="E49" s="12" t="s">
        <v>84</v>
      </c>
      <c r="F49" s="40">
        <v>45984</v>
      </c>
      <c r="G49" s="40">
        <v>45984</v>
      </c>
      <c r="H49" s="77">
        <v>1</v>
      </c>
      <c r="I49" s="2"/>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4.95" customHeight="1" outlineLevel="1" thickBot="1" x14ac:dyDescent="0.3">
      <c r="A50" s="8"/>
      <c r="B50" s="2"/>
      <c r="C50" s="14" t="s">
        <v>86</v>
      </c>
      <c r="D50" s="15" t="s">
        <v>0</v>
      </c>
      <c r="E50" s="12" t="s">
        <v>87</v>
      </c>
      <c r="F50" s="40">
        <v>45973</v>
      </c>
      <c r="G50" s="40">
        <v>45992</v>
      </c>
      <c r="H50" s="77">
        <v>19</v>
      </c>
      <c r="I50" s="2" t="s">
        <v>101</v>
      </c>
      <c r="J50" s="8"/>
      <c r="K50" s="1"/>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4.95" customHeight="1" outlineLevel="1" thickBot="1" x14ac:dyDescent="0.3">
      <c r="A51" s="8"/>
      <c r="B51" s="2"/>
      <c r="C51" s="14" t="s">
        <v>88</v>
      </c>
      <c r="D51" s="15" t="s">
        <v>0</v>
      </c>
      <c r="E51" s="12" t="s">
        <v>89</v>
      </c>
      <c r="F51" s="40">
        <v>45992</v>
      </c>
      <c r="G51" s="40">
        <v>45992</v>
      </c>
      <c r="H51" s="77">
        <v>1</v>
      </c>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4.95" customHeight="1" outlineLevel="1" thickBot="1" x14ac:dyDescent="0.3">
      <c r="A52" s="8"/>
      <c r="B52" s="2"/>
      <c r="C52" s="93" t="s">
        <v>90</v>
      </c>
      <c r="D52" s="15" t="s">
        <v>0</v>
      </c>
      <c r="E52" s="12" t="s">
        <v>91</v>
      </c>
      <c r="F52" s="40">
        <v>45976</v>
      </c>
      <c r="G52" s="40">
        <v>45976</v>
      </c>
      <c r="H52" s="77">
        <v>1</v>
      </c>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4.95" customHeight="1" outlineLevel="1" thickBot="1" x14ac:dyDescent="0.3">
      <c r="A53" s="8"/>
      <c r="B53" s="2"/>
      <c r="C53" s="14" t="s">
        <v>92</v>
      </c>
      <c r="D53" s="15" t="s">
        <v>0</v>
      </c>
      <c r="E53" s="12" t="s">
        <v>93</v>
      </c>
      <c r="F53" s="40">
        <v>45975</v>
      </c>
      <c r="G53" s="40">
        <v>45976</v>
      </c>
      <c r="H53" s="77">
        <v>2</v>
      </c>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4.95" customHeight="1" outlineLevel="1" thickBot="1" x14ac:dyDescent="0.3">
      <c r="A54" s="8"/>
      <c r="B54" s="2"/>
      <c r="C54" s="14" t="s">
        <v>94</v>
      </c>
      <c r="D54" s="15" t="s">
        <v>0</v>
      </c>
      <c r="E54" s="12" t="s">
        <v>95</v>
      </c>
      <c r="F54" s="40">
        <v>45986</v>
      </c>
      <c r="G54" s="40">
        <v>45986</v>
      </c>
      <c r="H54" s="77">
        <v>1</v>
      </c>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4.95" customHeight="1" outlineLevel="1" thickBot="1" x14ac:dyDescent="0.3">
      <c r="A55" s="8"/>
      <c r="B55" s="2"/>
      <c r="C55" s="14" t="s">
        <v>49</v>
      </c>
      <c r="D55" s="15" t="s">
        <v>0</v>
      </c>
      <c r="E55" s="12" t="s">
        <v>96</v>
      </c>
      <c r="F55" s="40">
        <v>45978</v>
      </c>
      <c r="G55" s="40">
        <v>45978</v>
      </c>
      <c r="H55" s="77">
        <v>1</v>
      </c>
      <c r="I55" s="2"/>
      <c r="J55" s="8"/>
      <c r="K55" s="1"/>
      <c r="L55" s="8"/>
      <c r="M55" s="8"/>
      <c r="N55" s="8"/>
      <c r="O55" s="8"/>
      <c r="P55" s="8"/>
      <c r="Q55" s="8"/>
      <c r="R55" s="8"/>
      <c r="S55" s="8"/>
      <c r="T55" s="8"/>
      <c r="U55" s="8"/>
      <c r="V55" s="8"/>
      <c r="W55" s="8" t="s">
        <v>33</v>
      </c>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4.95" customHeight="1" outlineLevel="1" thickBot="1" x14ac:dyDescent="0.3">
      <c r="A56" s="8"/>
      <c r="B56" s="2"/>
      <c r="C56" s="14" t="s">
        <v>97</v>
      </c>
      <c r="D56" s="15" t="s">
        <v>0</v>
      </c>
      <c r="E56" s="12" t="s">
        <v>98</v>
      </c>
      <c r="F56" s="40">
        <v>45982</v>
      </c>
      <c r="G56" s="40">
        <v>45982</v>
      </c>
      <c r="H56" s="77">
        <v>1</v>
      </c>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4.95" customHeight="1" outlineLevel="1" thickBot="1" x14ac:dyDescent="0.25">
      <c r="A57" s="8"/>
      <c r="B57" s="2"/>
      <c r="C57" s="14" t="s">
        <v>99</v>
      </c>
      <c r="D57" s="15" t="s">
        <v>0</v>
      </c>
      <c r="E57" s="12" t="s">
        <v>100</v>
      </c>
      <c r="F57" s="40">
        <v>45982</v>
      </c>
      <c r="G57" s="40">
        <v>45982</v>
      </c>
      <c r="H57" s="77">
        <v>1</v>
      </c>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4.95" customHeight="1" outlineLevel="1" thickBot="1" x14ac:dyDescent="0.3">
      <c r="A58" s="8"/>
      <c r="B58" s="2"/>
      <c r="C58" s="14" t="s">
        <v>16</v>
      </c>
      <c r="D58" s="15" t="s">
        <v>0</v>
      </c>
      <c r="E58" s="13"/>
      <c r="F58" s="40">
        <v>45983</v>
      </c>
      <c r="G58" s="40">
        <v>45999</v>
      </c>
      <c r="H58" s="77">
        <f t="shared" si="0"/>
        <v>17</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4.95" customHeight="1" outlineLevel="1" thickBot="1" x14ac:dyDescent="0.3">
      <c r="A59" s="8"/>
      <c r="B59" s="16"/>
      <c r="C59" s="14" t="s">
        <v>15</v>
      </c>
      <c r="D59" s="15" t="s">
        <v>0</v>
      </c>
      <c r="E59" s="17"/>
      <c r="F59" s="42">
        <v>45992</v>
      </c>
      <c r="G59" s="43">
        <v>45992</v>
      </c>
      <c r="H59" s="77">
        <f t="shared" si="0"/>
        <v>1</v>
      </c>
      <c r="I59" s="16"/>
      <c r="J59" s="8"/>
      <c r="K59" s="1"/>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55" customFormat="1" ht="24.95" customHeight="1" x14ac:dyDescent="0.25">
      <c r="A60" s="47"/>
      <c r="B60" s="68"/>
      <c r="C60" s="68" t="s">
        <v>22</v>
      </c>
      <c r="D60" s="69"/>
      <c r="E60" s="70"/>
      <c r="F60" s="71">
        <f>MIN(F61:F73)</f>
        <v>45983</v>
      </c>
      <c r="G60" s="72">
        <f>MAX(G61:G73)</f>
        <v>45999</v>
      </c>
      <c r="H60" s="74">
        <f t="shared" si="0"/>
        <v>17</v>
      </c>
      <c r="I60" s="73"/>
      <c r="J60" s="47"/>
      <c r="K60" s="1"/>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47"/>
      <c r="EO60" s="47"/>
      <c r="EP60" s="47"/>
      <c r="EQ60" s="47"/>
      <c r="ER60" s="47"/>
      <c r="ES60" s="47"/>
      <c r="ET60" s="47"/>
      <c r="EU60" s="47"/>
      <c r="EV60" s="47"/>
      <c r="EW60" s="47"/>
      <c r="EX60" s="47"/>
      <c r="EY60" s="47"/>
      <c r="EZ60" s="47"/>
      <c r="FA60" s="47"/>
      <c r="FB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E60" s="47"/>
      <c r="HF60" s="47"/>
      <c r="HG60" s="47"/>
      <c r="HH60" s="47"/>
      <c r="HI60" s="47"/>
      <c r="HJ60" s="47"/>
      <c r="HK60" s="47"/>
      <c r="HL60" s="47"/>
      <c r="HM60" s="47"/>
      <c r="HN60" s="47"/>
      <c r="HO60" s="47"/>
      <c r="HP60" s="47"/>
      <c r="HQ60" s="47"/>
      <c r="HR60" s="47"/>
      <c r="HS60" s="47"/>
      <c r="HT60" s="47"/>
      <c r="HU60" s="47"/>
      <c r="HV60" s="47"/>
      <c r="HW60" s="47"/>
      <c r="HX60" s="47"/>
      <c r="HY60" s="47"/>
      <c r="HZ60" s="47"/>
      <c r="IA60" s="47"/>
      <c r="IB60" s="47"/>
      <c r="IC60" s="47"/>
      <c r="ID60" s="47"/>
      <c r="IE60" s="47"/>
      <c r="IF60" s="47"/>
      <c r="IG60" s="47"/>
      <c r="IH60" s="47"/>
      <c r="II60" s="47"/>
      <c r="IJ60" s="47"/>
      <c r="IK60" s="47"/>
      <c r="IL60" s="47"/>
      <c r="IM60" s="47"/>
      <c r="IN60" s="47"/>
      <c r="IO60" s="47"/>
      <c r="IP60" s="47"/>
      <c r="IQ60" s="47"/>
      <c r="IR60" s="47"/>
      <c r="IS60" s="47"/>
      <c r="IT60" s="47"/>
      <c r="IU60" s="47"/>
      <c r="IV60" s="47"/>
      <c r="IW60" s="47"/>
      <c r="IX60" s="47"/>
    </row>
    <row r="61" spans="1:258" s="9" customFormat="1" ht="54" outlineLevel="1" x14ac:dyDescent="0.25">
      <c r="A61" s="8"/>
      <c r="B61" s="2"/>
      <c r="C61" s="14" t="s">
        <v>28</v>
      </c>
      <c r="D61" s="3"/>
      <c r="E61" s="13" t="s">
        <v>27</v>
      </c>
      <c r="F61" s="40">
        <v>45984</v>
      </c>
      <c r="G61" s="40">
        <v>45984</v>
      </c>
      <c r="H61" s="33">
        <f t="shared" si="0"/>
        <v>1</v>
      </c>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4.95" customHeight="1" outlineLevel="1" x14ac:dyDescent="0.2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4.95" customHeight="1" outlineLevel="1" x14ac:dyDescent="0.25">
      <c r="A63" s="8"/>
      <c r="B63" s="2"/>
      <c r="C63" s="14"/>
      <c r="D63" s="3"/>
      <c r="E63" s="13"/>
      <c r="F63" s="40"/>
      <c r="G63" s="40"/>
      <c r="H63" s="33"/>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4.95" customHeight="1" outlineLevel="1" x14ac:dyDescent="0.25">
      <c r="A64" s="8"/>
      <c r="B64" s="2"/>
      <c r="C64" s="14"/>
      <c r="D64" s="3"/>
      <c r="E64" s="13"/>
      <c r="F64" s="40"/>
      <c r="G64" s="40"/>
      <c r="H64" s="33"/>
      <c r="I64" s="2"/>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9" customFormat="1" ht="24.95" customHeight="1" outlineLevel="1" x14ac:dyDescent="0.25">
      <c r="A65" s="8"/>
      <c r="B65" s="2"/>
      <c r="C65" s="14"/>
      <c r="D65" s="3"/>
      <c r="E65" s="13"/>
      <c r="F65" s="40"/>
      <c r="G65" s="40"/>
      <c r="H65" s="33"/>
      <c r="I65" s="2"/>
      <c r="J65" s="8"/>
      <c r="K65" s="1"/>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row>
    <row r="66" spans="1:258" s="9" customFormat="1" ht="24.95" customHeight="1" outlineLevel="1" x14ac:dyDescent="0.25">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4.95" customHeight="1" outlineLevel="1" x14ac:dyDescent="0.25">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4.95" customHeight="1" outlineLevel="1" x14ac:dyDescent="0.25">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4.95" customHeight="1" outlineLevel="1" x14ac:dyDescent="0.25">
      <c r="A69" s="8"/>
      <c r="B69" s="2"/>
      <c r="C69" s="14"/>
      <c r="D69" s="3"/>
      <c r="E69" s="13"/>
      <c r="F69" s="40"/>
      <c r="G69" s="40"/>
      <c r="H69" s="33"/>
      <c r="I69" s="2"/>
      <c r="J69" s="8"/>
      <c r="K69" s="1"/>
      <c r="L69" s="8"/>
      <c r="M69" s="8"/>
      <c r="N69" s="8"/>
      <c r="O69" s="8"/>
      <c r="P69" s="8"/>
      <c r="Q69" s="8"/>
      <c r="R69" s="8"/>
      <c r="S69" s="8"/>
      <c r="T69" s="8"/>
      <c r="U69" s="8"/>
      <c r="V69" s="8"/>
      <c r="W69" s="44" t="s">
        <v>34</v>
      </c>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4.95" customHeight="1" outlineLevel="1" x14ac:dyDescent="0.25">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4.95" customHeight="1" outlineLevel="1" x14ac:dyDescent="0.25">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4.95" customHeight="1" outlineLevel="1" x14ac:dyDescent="0.25">
      <c r="A72" s="8"/>
      <c r="B72" s="2"/>
      <c r="C72" s="14" t="s">
        <v>16</v>
      </c>
      <c r="D72" s="3" t="s">
        <v>4</v>
      </c>
      <c r="E72" s="13"/>
      <c r="F72" s="40">
        <v>45983</v>
      </c>
      <c r="G72" s="40">
        <v>45999</v>
      </c>
      <c r="H72" s="33">
        <f t="shared" si="0"/>
        <v>17</v>
      </c>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4.95" customHeight="1" outlineLevel="1" thickBot="1" x14ac:dyDescent="0.3">
      <c r="A73" s="8"/>
      <c r="B73" s="16"/>
      <c r="C73" s="14" t="s">
        <v>15</v>
      </c>
      <c r="D73" s="15" t="s">
        <v>4</v>
      </c>
      <c r="E73" s="17"/>
      <c r="F73" s="42">
        <v>45992</v>
      </c>
      <c r="G73" s="43">
        <v>45992</v>
      </c>
      <c r="H73" s="33">
        <f t="shared" ref="H73" si="1">IF(OR(F73=0, ISBLANK(F73)),0,G73-F73+1)</f>
        <v>1</v>
      </c>
      <c r="I73" s="16"/>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ht="300" customHeight="1" x14ac:dyDescent="0.2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ht="300" customHeight="1" x14ac:dyDescent="0.2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2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2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2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2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2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2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2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2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2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2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2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2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2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2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2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2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2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2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2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2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2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2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2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2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2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2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2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2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2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2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2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2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2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2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2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2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2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2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2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2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2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2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2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2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2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2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2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2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2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2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2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2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2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2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2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2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2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2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2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2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2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2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2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2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2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2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2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2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2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2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2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2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2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2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2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2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2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2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2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2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2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2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2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2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2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2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2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2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2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2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2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2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2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2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2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2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2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2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2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2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2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2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2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2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2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2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2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2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2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2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2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2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2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2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2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2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2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2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2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2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2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2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2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2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2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2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2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2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2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2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2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2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2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2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2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2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2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2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2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2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2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2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2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2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2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2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2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2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2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2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2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2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2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2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2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2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2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2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2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2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2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2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2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2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2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2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2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2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2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2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2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2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2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2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2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2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2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2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2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2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2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2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2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2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2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2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2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2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2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2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2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2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2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2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2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2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2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2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2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2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2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2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2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2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2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2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2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2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2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2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2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2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2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2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2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2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2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2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2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2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2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2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2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2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2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2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2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2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2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2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2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2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2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2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2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2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2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2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2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2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2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2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2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2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2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2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2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2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2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2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2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2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2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2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2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2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2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2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2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2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2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2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2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2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2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2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2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2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2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2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2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2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2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2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2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2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2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2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2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2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2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2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2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2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2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2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2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2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2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2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2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2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2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2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2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2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2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2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2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2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2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2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2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2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2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2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2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2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2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2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2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2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2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2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2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2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2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2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2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2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2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2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2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2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2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2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2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2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2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2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2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2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2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2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2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2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2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2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2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2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2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2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2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2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2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82" x14ac:dyDescent="0.2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82" x14ac:dyDescent="0.2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82" x14ac:dyDescent="0.2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82" x14ac:dyDescent="0.2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82" x14ac:dyDescent="0.2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82" x14ac:dyDescent="0.2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82" x14ac:dyDescent="0.2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82" x14ac:dyDescent="0.2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82" x14ac:dyDescent="0.2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82" x14ac:dyDescent="0.2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2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2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2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2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2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2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2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2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2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2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2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2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2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2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2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2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2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2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2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2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2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2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2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2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2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2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2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2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2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2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2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2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2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2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2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2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2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2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2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2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2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2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2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2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2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2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2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2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2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2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2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2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2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2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2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2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2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2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2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2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2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2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2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2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2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2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2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2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2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2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2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2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2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2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2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2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2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2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2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2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2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2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2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2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2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2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2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2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2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2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2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2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2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2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2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2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2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2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2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2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2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2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2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2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2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2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2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2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2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2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2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2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2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2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2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2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2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2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2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2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2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2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2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2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2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2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2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2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2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2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2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2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2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2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2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2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2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2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2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2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2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2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2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2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2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2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2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2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2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2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2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2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2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2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2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2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2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2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2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2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2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2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2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2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2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2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2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2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2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2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2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2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2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2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2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2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2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2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2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2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2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2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2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2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2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2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2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2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2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2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2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2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2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2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2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2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2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2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2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2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2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2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2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2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2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2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2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2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2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2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2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2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2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2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2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2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2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2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2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2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2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2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2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2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2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2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2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2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2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2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2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2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2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2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2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2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2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2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2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2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2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2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2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2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2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2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2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2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2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2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2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2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2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2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2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2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2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2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2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2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2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2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2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2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2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2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2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2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2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2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2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2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2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2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2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2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2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2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2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2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2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2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2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2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2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2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2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2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2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2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2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2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2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2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2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2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2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2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2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2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2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2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2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2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2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2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2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2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2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2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2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2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2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2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2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2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2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2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2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2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2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2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2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2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2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2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2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2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2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2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2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2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2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2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2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2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2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2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2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2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2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2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2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2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2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2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2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2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2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2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2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2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2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2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2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2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2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2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2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2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2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2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2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2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2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2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2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2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2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2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2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2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2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2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2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2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2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2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2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2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2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2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2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2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2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2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2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2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2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2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2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2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2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2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2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2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2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2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2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2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2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2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2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2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2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2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2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2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2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2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2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2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2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2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2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2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2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2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2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2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2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2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2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2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2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2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2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2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2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2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2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2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2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2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2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2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2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2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2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2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2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2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2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2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2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2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2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2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2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2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2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2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2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2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2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2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2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2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2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2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2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2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2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2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2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2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2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2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2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2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2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2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2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2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2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2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2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2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2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2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2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2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2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2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2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2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2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2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2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2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2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2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2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2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2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2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2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2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2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2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2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2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2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2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2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2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2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2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2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2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2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2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2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2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2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2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2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2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2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2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2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2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2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2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2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2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2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2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2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2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2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2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2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2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2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2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2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2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2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2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2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2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2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2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2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2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2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2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2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2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2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2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2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2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2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2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2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2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2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2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2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2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2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2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2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2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2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2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2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2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2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2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2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2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2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2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2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2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2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2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2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2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2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2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2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2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2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2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2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2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2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2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2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2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2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2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2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2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2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2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2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2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2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2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2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2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2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2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2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2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2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2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2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2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2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2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2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2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2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2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2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2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2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2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2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2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2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2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2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2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2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2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2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2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2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2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2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2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2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2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2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2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2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2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2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2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2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2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2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2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2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2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2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2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2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2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2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2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2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2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2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2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2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2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2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2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2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2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2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2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2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2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2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2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2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2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25">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25">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25">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25">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25">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25">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25">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25">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25">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x14ac:dyDescent="0.25">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x14ac:dyDescent="0.25">
      <c r="A1117" s="1"/>
      <c r="B1117" s="1"/>
      <c r="C1117" s="1"/>
      <c r="D1117" s="1"/>
      <c r="E1117" s="1"/>
      <c r="F1117" s="36"/>
      <c r="G1117" s="36"/>
      <c r="H1117" s="1"/>
      <c r="I1117" s="1"/>
      <c r="J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x14ac:dyDescent="0.25">
      <c r="A1118" s="1"/>
      <c r="B1118" s="1"/>
      <c r="C1118" s="1"/>
      <c r="D1118" s="1"/>
      <c r="E1118" s="1"/>
      <c r="F1118" s="36"/>
      <c r="G1118" s="36"/>
      <c r="H1118" s="1"/>
      <c r="I1118" s="1"/>
      <c r="J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x14ac:dyDescent="0.25">
      <c r="A1119" s="1"/>
      <c r="B1119" s="1"/>
      <c r="C1119" s="1"/>
      <c r="D1119" s="1"/>
      <c r="E1119" s="1"/>
      <c r="F1119" s="36"/>
      <c r="G1119" s="36"/>
      <c r="H1119" s="1"/>
      <c r="I1119" s="1"/>
      <c r="J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sheetData>
  <mergeCells count="16">
    <mergeCell ref="G25:G26"/>
    <mergeCell ref="H25:H26"/>
    <mergeCell ref="I25:I26"/>
    <mergeCell ref="B40:B41"/>
    <mergeCell ref="B25:B26"/>
    <mergeCell ref="C25:C26"/>
    <mergeCell ref="D25:D26"/>
    <mergeCell ref="E25:E26"/>
    <mergeCell ref="F25:F26"/>
    <mergeCell ref="I40:I41"/>
    <mergeCell ref="C40:C41"/>
    <mergeCell ref="D40:D41"/>
    <mergeCell ref="E40:E41"/>
    <mergeCell ref="F40:F41"/>
    <mergeCell ref="G40:G41"/>
    <mergeCell ref="H40:H41"/>
  </mergeCells>
  <phoneticPr fontId="3" type="noConversion"/>
  <conditionalFormatting sqref="D8:D25 D27:D40 D42:D7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27:D40 D8:D25 D42:D73"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defaultColWidth="10.875" defaultRowHeight="15" x14ac:dyDescent="0.25"/>
  <cols>
    <col min="1" max="1" width="3.375" style="6" customWidth="1"/>
    <col min="2" max="2" width="88.375" style="6" customWidth="1"/>
    <col min="3" max="16384" width="10.875" style="6"/>
  </cols>
  <sheetData>
    <row r="2" spans="2:2" ht="90" x14ac:dyDescent="0.25">
      <c r="B2" s="5" t="s">
        <v>1</v>
      </c>
    </row>
    <row r="4" spans="2:2" x14ac:dyDescent="0.25">
      <c r="B4" s="6" t="s">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Earthquakes</vt:lpstr>
      <vt:lpstr>-Disclaimer-</vt:lpstr>
      <vt:lpstr>Earthquakes!Print_Area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Emilio Peguero</cp:lastModifiedBy>
  <dcterms:created xsi:type="dcterms:W3CDTF">2015-02-24T20:54:23Z</dcterms:created>
  <dcterms:modified xsi:type="dcterms:W3CDTF">2025-12-02T04:18:43Z</dcterms:modified>
</cp:coreProperties>
</file>